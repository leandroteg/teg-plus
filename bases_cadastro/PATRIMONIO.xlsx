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io.medeiros\Downloads\"/>
    </mc:Choice>
  </mc:AlternateContent>
  <xr:revisionPtr revIDLastSave="0" documentId="13_ncr:1_{F286133A-35D7-425C-80B2-1418FEAD8D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minhão-Maquinas-Veiculos" sheetId="1" r:id="rId1"/>
    <sheet name="Computadores-Moveis-Equipament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3" l="1"/>
  <c r="D56" i="3"/>
  <c r="E54" i="3"/>
  <c r="E53" i="3"/>
  <c r="D53" i="3"/>
  <c r="D54" i="3"/>
  <c r="E55" i="3"/>
  <c r="D55" i="3"/>
  <c r="E52" i="3"/>
  <c r="D52" i="3"/>
  <c r="E28" i="3"/>
  <c r="D28" i="3"/>
  <c r="E17" i="3"/>
  <c r="D17" i="3"/>
  <c r="E7" i="3"/>
  <c r="D7" i="3"/>
  <c r="E6" i="3"/>
  <c r="D6" i="3"/>
  <c r="E4" i="3" l="1"/>
  <c r="D4" i="3"/>
  <c r="E32" i="3" l="1"/>
  <c r="D32" i="3"/>
  <c r="D36" i="3"/>
  <c r="E36" i="3"/>
  <c r="E37" i="3"/>
  <c r="D37" i="3"/>
  <c r="E39" i="3"/>
  <c r="D39" i="3"/>
  <c r="E38" i="3"/>
  <c r="D38" i="3"/>
  <c r="E41" i="3"/>
  <c r="D41" i="3"/>
  <c r="E43" i="3"/>
  <c r="D43" i="3"/>
  <c r="E44" i="3"/>
  <c r="D44" i="3"/>
  <c r="E86" i="3"/>
  <c r="D86" i="3"/>
  <c r="D81" i="3"/>
  <c r="D75" i="3"/>
  <c r="D89" i="3"/>
  <c r="D88" i="3"/>
  <c r="E88" i="3"/>
  <c r="E81" i="3"/>
  <c r="E89" i="3"/>
  <c r="E75" i="3"/>
  <c r="F51" i="3" s="1"/>
  <c r="J20" i="1"/>
  <c r="F78" i="3" l="1"/>
  <c r="F19" i="3"/>
  <c r="F49" i="3"/>
  <c r="F2" i="3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19" i="1"/>
  <c r="J23" i="1"/>
  <c r="J41" i="1"/>
  <c r="J40" i="1"/>
  <c r="J39" i="1"/>
  <c r="J38" i="1"/>
  <c r="J37" i="1"/>
  <c r="J36" i="1"/>
  <c r="J35" i="1" s="1"/>
  <c r="J33" i="1"/>
  <c r="J32" i="1"/>
  <c r="J31" i="1"/>
  <c r="J30" i="1"/>
  <c r="J29" i="1"/>
  <c r="J28" i="1"/>
  <c r="J27" i="1"/>
  <c r="J26" i="1"/>
  <c r="J25" i="1"/>
  <c r="J24" i="1"/>
  <c r="J18" i="1"/>
  <c r="J17" i="1"/>
  <c r="J16" i="1"/>
  <c r="J14" i="1"/>
  <c r="J15" i="1"/>
  <c r="J12" i="1"/>
  <c r="J13" i="1"/>
  <c r="J11" i="1"/>
  <c r="J2" i="1" s="1"/>
  <c r="J10" i="1"/>
  <c r="J9" i="1"/>
  <c r="J8" i="1"/>
  <c r="J7" i="1"/>
  <c r="J6" i="1"/>
  <c r="J5" i="1"/>
  <c r="J4" i="1"/>
  <c r="J3" i="1"/>
  <c r="J22" i="1" l="1"/>
</calcChain>
</file>

<file path=xl/sharedStrings.xml><?xml version="1.0" encoding="utf-8"?>
<sst xmlns="http://schemas.openxmlformats.org/spreadsheetml/2006/main" count="377" uniqueCount="218">
  <si>
    <t>Nº</t>
  </si>
  <si>
    <t>Categoria</t>
  </si>
  <si>
    <t>Descrição do Bem</t>
  </si>
  <si>
    <t>MAQUINAS E EQUIPAMENTOS</t>
  </si>
  <si>
    <t>Equipamentos</t>
  </si>
  <si>
    <t>COMPUTADORES E PERIFERICOS</t>
  </si>
  <si>
    <t>VEICULOS PESADOS</t>
  </si>
  <si>
    <t>1.1</t>
  </si>
  <si>
    <t>Caminhões</t>
  </si>
  <si>
    <t>Modelo</t>
  </si>
  <si>
    <t>Placa</t>
  </si>
  <si>
    <t>Marca</t>
  </si>
  <si>
    <t>VW/6.160 DRC 4X2</t>
  </si>
  <si>
    <t>VW</t>
  </si>
  <si>
    <t>6160 DELIVERY</t>
  </si>
  <si>
    <t>Valor Caminhão</t>
  </si>
  <si>
    <t>Valor do Equipamento</t>
  </si>
  <si>
    <t>Valor Total</t>
  </si>
  <si>
    <t>JAS9G41</t>
  </si>
  <si>
    <t>JAV1H70</t>
  </si>
  <si>
    <t>JAT3I11</t>
  </si>
  <si>
    <t>JAT3I14</t>
  </si>
  <si>
    <t>BPO5D29</t>
  </si>
  <si>
    <t>JAX6C84</t>
  </si>
  <si>
    <t>JAQ5C08</t>
  </si>
  <si>
    <t>JBK5A72</t>
  </si>
  <si>
    <t>QOV3C58</t>
  </si>
  <si>
    <t>FORD</t>
  </si>
  <si>
    <t>F4000 CD</t>
  </si>
  <si>
    <t>FORD/F4000 TRV MULTI</t>
  </si>
  <si>
    <t>Ano</t>
  </si>
  <si>
    <t>2021</t>
  </si>
  <si>
    <t>2019</t>
  </si>
  <si>
    <t>VW 27.260 CONSTELLATION</t>
  </si>
  <si>
    <t>27260</t>
  </si>
  <si>
    <t>Novo</t>
  </si>
  <si>
    <t>2025</t>
  </si>
  <si>
    <t>MERCEDES ATEGO 2730 6X4</t>
  </si>
  <si>
    <t>2730 ATEGO</t>
  </si>
  <si>
    <t>MERCEDES</t>
  </si>
  <si>
    <t>2022</t>
  </si>
  <si>
    <t>9180 DELIVERY</t>
  </si>
  <si>
    <t>VW 9.180 DRC 4X2</t>
  </si>
  <si>
    <t>Maquinas/Equipamentos</t>
  </si>
  <si>
    <t>2.1</t>
  </si>
  <si>
    <t>GUINDAUTO</t>
  </si>
  <si>
    <t>2023</t>
  </si>
  <si>
    <t>26.280 6X4</t>
  </si>
  <si>
    <t>VW/24.280 CRM 6X2</t>
  </si>
  <si>
    <t>FORD/CARGO 2429 L</t>
  </si>
  <si>
    <t>2015</t>
  </si>
  <si>
    <t>2013</t>
  </si>
  <si>
    <t>SMA9J78</t>
  </si>
  <si>
    <t>JBN6H45</t>
  </si>
  <si>
    <t>EKH4G44</t>
  </si>
  <si>
    <t>OOM8C27</t>
  </si>
  <si>
    <t>1719 ATEGO</t>
  </si>
  <si>
    <t>RNY6A01</t>
  </si>
  <si>
    <t>VW 17.190 CRM 4X2</t>
  </si>
  <si>
    <t>17.190 VW</t>
  </si>
  <si>
    <t>RGC7A63</t>
  </si>
  <si>
    <t>VALTRA</t>
  </si>
  <si>
    <t>BH140</t>
  </si>
  <si>
    <t>TRA0001</t>
  </si>
  <si>
    <t>2002</t>
  </si>
  <si>
    <t>EQUIPAMENTO ESPECIAL</t>
  </si>
  <si>
    <t>TRA0003</t>
  </si>
  <si>
    <t>TRA0004</t>
  </si>
  <si>
    <t>BH210I</t>
  </si>
  <si>
    <t>BH180</t>
  </si>
  <si>
    <t>2016</t>
  </si>
  <si>
    <t>RET0001</t>
  </si>
  <si>
    <t>JCB</t>
  </si>
  <si>
    <t>3CX</t>
  </si>
  <si>
    <t>RET0006</t>
  </si>
  <si>
    <t>2024</t>
  </si>
  <si>
    <t>RET0002</t>
  </si>
  <si>
    <t>JOHN DERRE</t>
  </si>
  <si>
    <t>310L</t>
  </si>
  <si>
    <t>3.1</t>
  </si>
  <si>
    <t>VEICULOS</t>
  </si>
  <si>
    <t>Veiculos Leves</t>
  </si>
  <si>
    <t>QAG9948</t>
  </si>
  <si>
    <t>FRL6I63</t>
  </si>
  <si>
    <t>VW/NOVO GOL TL MCV</t>
  </si>
  <si>
    <t>VW/NOVO GOL TL MBV</t>
  </si>
  <si>
    <t>GOL</t>
  </si>
  <si>
    <t>2018</t>
  </si>
  <si>
    <t>RME3B40</t>
  </si>
  <si>
    <t>RUA5E39</t>
  </si>
  <si>
    <t>GM</t>
  </si>
  <si>
    <t>S10</t>
  </si>
  <si>
    <t>CHEVROLET/S10 LS DD4</t>
  </si>
  <si>
    <t>RUA3J58</t>
  </si>
  <si>
    <t>RMU9J03</t>
  </si>
  <si>
    <t>RUA3J66</t>
  </si>
  <si>
    <t>MMC/L200 TRITON SPO GL</t>
  </si>
  <si>
    <t>MITSUBISHI</t>
  </si>
  <si>
    <t>L200</t>
  </si>
  <si>
    <t>RTS9B98</t>
  </si>
  <si>
    <t>RUH3F48</t>
  </si>
  <si>
    <t>FPJ7H84</t>
  </si>
  <si>
    <t>RUQ5G11</t>
  </si>
  <si>
    <t>RUQ6B41</t>
  </si>
  <si>
    <t>RTS9D50</t>
  </si>
  <si>
    <t>QAM7622</t>
  </si>
  <si>
    <t>QAQ1D30</t>
  </si>
  <si>
    <t>SDW4F54</t>
  </si>
  <si>
    <t>FIAT/STRADA ENDURANCE CS</t>
  </si>
  <si>
    <t>FIAT/STRADA FREEDOM CD</t>
  </si>
  <si>
    <t>FIAT</t>
  </si>
  <si>
    <t>STRADA CS</t>
  </si>
  <si>
    <t>STRADA CD</t>
  </si>
  <si>
    <t>2020</t>
  </si>
  <si>
    <t xml:space="preserve">FIAT/STRADA ENDURANCE DP </t>
  </si>
  <si>
    <t>RNM6F75</t>
  </si>
  <si>
    <t>RTA6F87</t>
  </si>
  <si>
    <t>RVW6I30</t>
  </si>
  <si>
    <t>UTILITARIO</t>
  </si>
  <si>
    <t>FIORINO</t>
  </si>
  <si>
    <t>RTX1A85</t>
  </si>
  <si>
    <t>REY9I68</t>
  </si>
  <si>
    <t>RUH1H92</t>
  </si>
  <si>
    <t>FIAT/TORO ENDUR TURB AT6</t>
  </si>
  <si>
    <t>FIAT/TORO FREED TURB AT6</t>
  </si>
  <si>
    <t>TORO</t>
  </si>
  <si>
    <t>PAY0E64</t>
  </si>
  <si>
    <t>I/M.BENZ TAKO SPRINM 16</t>
  </si>
  <si>
    <t>SPRINTER</t>
  </si>
  <si>
    <t>2017</t>
  </si>
  <si>
    <t>SERVIDOR</t>
  </si>
  <si>
    <t>Quantidade</t>
  </si>
  <si>
    <t xml:space="preserve">NOTEBOOK </t>
  </si>
  <si>
    <t>NOTEBOOK WORKSTATION</t>
  </si>
  <si>
    <t>CELULAR</t>
  </si>
  <si>
    <t>TABLET</t>
  </si>
  <si>
    <t>MONITOR</t>
  </si>
  <si>
    <t>SISTEMA DE MONITORAMENTO MATRIZ</t>
  </si>
  <si>
    <t>SISTEMA DE MONITORAMENTO FRUTAL</t>
  </si>
  <si>
    <t>SISTEMA DE MONITORAMENTO ITAPAGIPE</t>
  </si>
  <si>
    <t>SISTEMA DE MONITORAMENTO PARACATU</t>
  </si>
  <si>
    <t>SISTEMA DE MONITORAMENTO RIO PARANAIBA</t>
  </si>
  <si>
    <t>SISTEMA DE MONITORAMENTO PERDIZES</t>
  </si>
  <si>
    <t>SISTEMA DE MONITORAMENTO ARAXÁ</t>
  </si>
  <si>
    <t>IMPRESSORA PLOTTER</t>
  </si>
  <si>
    <t>MESAS</t>
  </si>
  <si>
    <t>MESA DIRETORIA</t>
  </si>
  <si>
    <t>MESA REUNIÃO</t>
  </si>
  <si>
    <t>CADEIRAS</t>
  </si>
  <si>
    <t xml:space="preserve">IMPRESSORA </t>
  </si>
  <si>
    <t xml:space="preserve">MOVEIS/ UTENSILIOS </t>
  </si>
  <si>
    <t>VASOS DECORATIVOS - SEDE NOVA</t>
  </si>
  <si>
    <t>AR SPLIT</t>
  </si>
  <si>
    <t>AR JANELA</t>
  </si>
  <si>
    <t>CAMAS</t>
  </si>
  <si>
    <t>COLCHÃO</t>
  </si>
  <si>
    <t>SOFA</t>
  </si>
  <si>
    <t>ARMARIO ALTO</t>
  </si>
  <si>
    <t>ARMARIO BAIXO</t>
  </si>
  <si>
    <t>ARMARIO ALOJAMENTO</t>
  </si>
  <si>
    <t>ARMARIO VESTIARIO</t>
  </si>
  <si>
    <t>VENTILADOR PAREDE</t>
  </si>
  <si>
    <t>VENTILADOR 30CM</t>
  </si>
  <si>
    <t>ARQUIVOS</t>
  </si>
  <si>
    <t>BEBEDOUROS</t>
  </si>
  <si>
    <t>GELADEIRAS</t>
  </si>
  <si>
    <t>TANQUINHOS</t>
  </si>
  <si>
    <t>MAQUINA DE GELO</t>
  </si>
  <si>
    <t>PRATELEIRAS PEQUENAS</t>
  </si>
  <si>
    <t>PRATELEIRAS ALMOXARIFADO</t>
  </si>
  <si>
    <t>BANHEIRO QUIMICO</t>
  </si>
  <si>
    <t>PULVERIZADOR AGRICOLA</t>
  </si>
  <si>
    <t>ROÇADEIRA AGRICOLA</t>
  </si>
  <si>
    <t>GUINCHO AGRICOLA</t>
  </si>
  <si>
    <t>TALHAS 1,5</t>
  </si>
  <si>
    <t>TALHAS 3</t>
  </si>
  <si>
    <t>TALHAS 4,5</t>
  </si>
  <si>
    <t>MANGOTES</t>
  </si>
  <si>
    <t>EXTENSÃO MANGOTE</t>
  </si>
  <si>
    <t>MOTOR VIBRADOR</t>
  </si>
  <si>
    <t>MOTOR GERADOR</t>
  </si>
  <si>
    <t>MANOMETRO</t>
  </si>
  <si>
    <t>MAQUINA DE SOLDA</t>
  </si>
  <si>
    <t>REGULADOR DE PRESSÃO</t>
  </si>
  <si>
    <t>COMPRESSOR DE AR</t>
  </si>
  <si>
    <t>MOTOR HIDRAULICO PRENSA</t>
  </si>
  <si>
    <t>PRENSA PRENSAR</t>
  </si>
  <si>
    <t>PRENSA CIVITELLA</t>
  </si>
  <si>
    <t>CAMISA DE PUXAMENTO</t>
  </si>
  <si>
    <t>CAMISA DE EMENDA</t>
  </si>
  <si>
    <t>ESTICADOR</t>
  </si>
  <si>
    <t>ATERRAMENTO</t>
  </si>
  <si>
    <t>DISTORCEDOR</t>
  </si>
  <si>
    <t>CARRETILHA PARA RAIO</t>
  </si>
  <si>
    <t>CARRETILHA IÇAMENTO</t>
  </si>
  <si>
    <t>JOGO DE MATRIZ</t>
  </si>
  <si>
    <t>ROLDANA ATERRAMENTO</t>
  </si>
  <si>
    <t>40</t>
  </si>
  <si>
    <t>PATESCA</t>
  </si>
  <si>
    <t>CAVALETE CIVITELLA</t>
  </si>
  <si>
    <t>MASTRO DE MONTAGEM</t>
  </si>
  <si>
    <t>BANDOLA</t>
  </si>
  <si>
    <t>MOTOSSERRA</t>
  </si>
  <si>
    <t>ESTAÇÃO TOTAL</t>
  </si>
  <si>
    <t>GRADE  AGRICOLA</t>
  </si>
  <si>
    <t>EQUIPAMENTOS/FERRAMENTAS</t>
  </si>
  <si>
    <t>6.1</t>
  </si>
  <si>
    <t>6.2</t>
  </si>
  <si>
    <t>Ferramentas</t>
  </si>
  <si>
    <t xml:space="preserve"> BH180 4X4</t>
  </si>
  <si>
    <t>TRATOR</t>
  </si>
  <si>
    <t>Ativar</t>
  </si>
  <si>
    <t>RTK GPS</t>
  </si>
  <si>
    <t>1</t>
  </si>
  <si>
    <t>CONTAINER BANHEIRO NOVO</t>
  </si>
  <si>
    <t>CONTAINER BANHEIRO USADO</t>
  </si>
  <si>
    <t>CONTAINER ESCRITÓRIO USADO</t>
  </si>
  <si>
    <t>CONTAINER ALMOXARIFADO 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</si>
</sst>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3" xfId="1" applyNumberFormat="1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3" fillId="3" borderId="0" xfId="0" applyNumberFormat="1" applyFon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4" fontId="9" fillId="0" borderId="1" xfId="1" applyFont="1" applyFill="1" applyBorder="1" applyAlignment="1">
      <alignment horizontal="center" vertical="center"/>
    </xf>
    <xf numFmtId="164" fontId="9" fillId="0" borderId="2" xfId="1" applyNumberFormat="1" applyFont="1" applyFill="1" applyBorder="1" applyAlignment="1">
      <alignment horizontal="center" vertical="center"/>
    </xf>
    <xf numFmtId="164" fontId="10" fillId="0" borderId="2" xfId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 vertical="center"/>
    </xf>
    <xf numFmtId="44" fontId="9" fillId="4" borderId="1" xfId="1" applyFont="1" applyFill="1" applyBorder="1" applyAlignment="1">
      <alignment horizontal="center" vertical="center"/>
    </xf>
    <xf numFmtId="164" fontId="9" fillId="4" borderId="2" xfId="1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0" xfId="0" applyNumberFormat="1" applyFont="1"/>
    <xf numFmtId="0" fontId="7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0" fontId="0" fillId="6" borderId="0" xfId="0" applyFill="1"/>
  </cellXfs>
  <cellStyles count="3">
    <cellStyle name="Moeda" xfId="1" builtinId="4"/>
    <cellStyle name="Normal" xfId="0" builtinId="0"/>
    <cellStyle name="Normal 2" xfId="2" xr:uid="{5592F733-20DE-491F-982C-41F1099EB8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opLeftCell="A43" workbookViewId="0">
      <selection activeCell="B14" sqref="B14"/>
    </sheetView>
  </sheetViews>
  <sheetFormatPr defaultRowHeight="14.4" x14ac:dyDescent="0.3"/>
  <cols>
    <col min="1" max="1" width="15" customWidth="1"/>
    <col min="2" max="2" width="27.6640625" bestFit="1" customWidth="1"/>
    <col min="3" max="3" width="23.6640625" customWidth="1"/>
    <col min="4" max="4" width="15" customWidth="1"/>
    <col min="5" max="5" width="24" customWidth="1"/>
    <col min="6" max="7" width="10.88671875" customWidth="1"/>
    <col min="8" max="8" width="17.33203125" customWidth="1"/>
    <col min="9" max="9" width="25" customWidth="1"/>
    <col min="10" max="10" width="14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9</v>
      </c>
      <c r="F1" s="1" t="s">
        <v>10</v>
      </c>
      <c r="G1" s="1" t="s">
        <v>30</v>
      </c>
      <c r="H1" s="1" t="s">
        <v>15</v>
      </c>
      <c r="I1" s="1" t="s">
        <v>16</v>
      </c>
      <c r="J1" s="1" t="s">
        <v>17</v>
      </c>
    </row>
    <row r="2" spans="1:10" x14ac:dyDescent="0.3">
      <c r="A2" s="9">
        <v>1</v>
      </c>
      <c r="B2" s="9" t="s">
        <v>6</v>
      </c>
      <c r="C2" s="2"/>
      <c r="D2" s="2"/>
      <c r="E2" s="2"/>
      <c r="F2" s="2"/>
      <c r="G2" s="2"/>
      <c r="H2" s="2"/>
      <c r="I2" s="2"/>
      <c r="J2" s="10">
        <f>SUM(J3:J20)</f>
        <v>6695055</v>
      </c>
    </row>
    <row r="3" spans="1:10" x14ac:dyDescent="0.3">
      <c r="A3" s="26" t="s">
        <v>7</v>
      </c>
      <c r="B3" s="26" t="s">
        <v>8</v>
      </c>
      <c r="C3" s="17" t="s">
        <v>12</v>
      </c>
      <c r="D3" s="18" t="s">
        <v>13</v>
      </c>
      <c r="E3" s="18" t="s">
        <v>14</v>
      </c>
      <c r="F3" s="18" t="s">
        <v>18</v>
      </c>
      <c r="G3" s="21" t="s">
        <v>31</v>
      </c>
      <c r="H3" s="22">
        <v>227323</v>
      </c>
      <c r="I3" s="20">
        <v>35000</v>
      </c>
      <c r="J3" s="20">
        <f t="shared" ref="J3:J13" si="0">H3+I3</f>
        <v>262323</v>
      </c>
    </row>
    <row r="4" spans="1:10" x14ac:dyDescent="0.3">
      <c r="C4" s="17" t="s">
        <v>12</v>
      </c>
      <c r="D4" s="18" t="s">
        <v>13</v>
      </c>
      <c r="E4" s="18" t="s">
        <v>14</v>
      </c>
      <c r="F4" s="18" t="s">
        <v>19</v>
      </c>
      <c r="G4" s="21" t="s">
        <v>31</v>
      </c>
      <c r="H4" s="22">
        <v>227323</v>
      </c>
      <c r="I4" s="20">
        <v>35000</v>
      </c>
      <c r="J4" s="20">
        <f t="shared" si="0"/>
        <v>262323</v>
      </c>
    </row>
    <row r="5" spans="1:10" x14ac:dyDescent="0.3">
      <c r="C5" s="17" t="s">
        <v>12</v>
      </c>
      <c r="D5" s="18" t="s">
        <v>13</v>
      </c>
      <c r="E5" s="18" t="s">
        <v>14</v>
      </c>
      <c r="F5" s="18" t="s">
        <v>20</v>
      </c>
      <c r="G5" s="21" t="s">
        <v>31</v>
      </c>
      <c r="H5" s="22">
        <v>227323</v>
      </c>
      <c r="I5" s="20">
        <v>35000</v>
      </c>
      <c r="J5" s="20">
        <f t="shared" si="0"/>
        <v>262323</v>
      </c>
    </row>
    <row r="6" spans="1:10" x14ac:dyDescent="0.3">
      <c r="C6" s="17" t="s">
        <v>12</v>
      </c>
      <c r="D6" s="18" t="s">
        <v>13</v>
      </c>
      <c r="E6" s="18" t="s">
        <v>14</v>
      </c>
      <c r="F6" s="18" t="s">
        <v>21</v>
      </c>
      <c r="G6" s="21" t="s">
        <v>31</v>
      </c>
      <c r="H6" s="22">
        <v>227323</v>
      </c>
      <c r="I6" s="20">
        <v>35000</v>
      </c>
      <c r="J6" s="20">
        <f t="shared" si="0"/>
        <v>262323</v>
      </c>
    </row>
    <row r="7" spans="1:10" x14ac:dyDescent="0.3">
      <c r="C7" s="17" t="s">
        <v>12</v>
      </c>
      <c r="D7" s="18" t="s">
        <v>13</v>
      </c>
      <c r="E7" s="18" t="s">
        <v>14</v>
      </c>
      <c r="F7" s="18" t="s">
        <v>22</v>
      </c>
      <c r="G7" s="21" t="s">
        <v>31</v>
      </c>
      <c r="H7" s="22">
        <v>227323</v>
      </c>
      <c r="I7" s="20">
        <v>35000</v>
      </c>
      <c r="J7" s="20">
        <f t="shared" si="0"/>
        <v>262323</v>
      </c>
    </row>
    <row r="8" spans="1:10" x14ac:dyDescent="0.3">
      <c r="C8" s="17" t="s">
        <v>12</v>
      </c>
      <c r="D8" s="18" t="s">
        <v>13</v>
      </c>
      <c r="E8" s="18" t="s">
        <v>14</v>
      </c>
      <c r="F8" s="18" t="s">
        <v>23</v>
      </c>
      <c r="G8" s="21" t="s">
        <v>31</v>
      </c>
      <c r="H8" s="22">
        <v>227323</v>
      </c>
      <c r="I8" s="20">
        <v>35000</v>
      </c>
      <c r="J8" s="20">
        <f t="shared" si="0"/>
        <v>262323</v>
      </c>
    </row>
    <row r="9" spans="1:10" x14ac:dyDescent="0.3">
      <c r="C9" s="17" t="s">
        <v>12</v>
      </c>
      <c r="D9" s="18" t="s">
        <v>13</v>
      </c>
      <c r="E9" s="18" t="s">
        <v>14</v>
      </c>
      <c r="F9" s="18" t="s">
        <v>24</v>
      </c>
      <c r="G9" s="21" t="s">
        <v>31</v>
      </c>
      <c r="H9" s="22">
        <v>227323</v>
      </c>
      <c r="I9" s="20">
        <v>35000</v>
      </c>
      <c r="J9" s="20">
        <f t="shared" si="0"/>
        <v>262323</v>
      </c>
    </row>
    <row r="10" spans="1:10" x14ac:dyDescent="0.3">
      <c r="C10" s="17" t="s">
        <v>12</v>
      </c>
      <c r="D10" s="18" t="s">
        <v>13</v>
      </c>
      <c r="E10" s="18" t="s">
        <v>14</v>
      </c>
      <c r="F10" s="18" t="s">
        <v>25</v>
      </c>
      <c r="G10" s="21" t="s">
        <v>31</v>
      </c>
      <c r="H10" s="22">
        <v>227323</v>
      </c>
      <c r="I10" s="20">
        <v>35000</v>
      </c>
      <c r="J10" s="20">
        <f t="shared" si="0"/>
        <v>262323</v>
      </c>
    </row>
    <row r="11" spans="1:10" x14ac:dyDescent="0.3">
      <c r="C11" s="17" t="s">
        <v>33</v>
      </c>
      <c r="D11" s="18" t="s">
        <v>13</v>
      </c>
      <c r="E11" s="18" t="s">
        <v>34</v>
      </c>
      <c r="F11" s="18" t="s">
        <v>35</v>
      </c>
      <c r="G11" s="21" t="s">
        <v>36</v>
      </c>
      <c r="H11" s="22">
        <v>530000</v>
      </c>
      <c r="I11" s="20">
        <v>320000</v>
      </c>
      <c r="J11" s="20">
        <f t="shared" si="0"/>
        <v>850000</v>
      </c>
    </row>
    <row r="12" spans="1:10" x14ac:dyDescent="0.3">
      <c r="C12" s="17" t="s">
        <v>33</v>
      </c>
      <c r="D12" s="18" t="s">
        <v>13</v>
      </c>
      <c r="E12" s="18" t="s">
        <v>34</v>
      </c>
      <c r="F12" s="18" t="s">
        <v>35</v>
      </c>
      <c r="G12" s="21" t="s">
        <v>36</v>
      </c>
      <c r="H12" s="22">
        <v>530000</v>
      </c>
      <c r="I12" s="20">
        <v>320000</v>
      </c>
      <c r="J12" s="20">
        <f t="shared" si="0"/>
        <v>850000</v>
      </c>
    </row>
    <row r="13" spans="1:10" x14ac:dyDescent="0.3">
      <c r="C13" s="17" t="s">
        <v>29</v>
      </c>
      <c r="D13" s="18" t="s">
        <v>27</v>
      </c>
      <c r="E13" s="18" t="s">
        <v>28</v>
      </c>
      <c r="F13" s="18" t="s">
        <v>26</v>
      </c>
      <c r="G13" s="21" t="s">
        <v>32</v>
      </c>
      <c r="H13" s="22">
        <v>134230</v>
      </c>
      <c r="I13" s="20"/>
      <c r="J13" s="20">
        <f t="shared" si="0"/>
        <v>134230</v>
      </c>
    </row>
    <row r="14" spans="1:10" x14ac:dyDescent="0.3">
      <c r="A14" s="29"/>
      <c r="B14" t="s">
        <v>211</v>
      </c>
      <c r="C14" s="17" t="s">
        <v>37</v>
      </c>
      <c r="D14" s="18" t="s">
        <v>39</v>
      </c>
      <c r="E14" s="18" t="s">
        <v>38</v>
      </c>
      <c r="F14" s="18" t="s">
        <v>57</v>
      </c>
      <c r="G14" s="21" t="s">
        <v>40</v>
      </c>
      <c r="H14" s="22">
        <v>492240</v>
      </c>
      <c r="I14" s="20"/>
      <c r="J14" s="20">
        <f t="shared" ref="J14:J15" si="1">H14+I14</f>
        <v>492240</v>
      </c>
    </row>
    <row r="15" spans="1:10" x14ac:dyDescent="0.3">
      <c r="C15" s="17" t="s">
        <v>42</v>
      </c>
      <c r="D15" s="18" t="s">
        <v>13</v>
      </c>
      <c r="E15" s="18" t="s">
        <v>41</v>
      </c>
      <c r="F15" s="18" t="s">
        <v>35</v>
      </c>
      <c r="G15" s="21" t="s">
        <v>36</v>
      </c>
      <c r="H15" s="22">
        <v>315000</v>
      </c>
      <c r="I15" s="20">
        <v>48000</v>
      </c>
      <c r="J15" s="20">
        <f t="shared" si="1"/>
        <v>363000</v>
      </c>
    </row>
    <row r="16" spans="1:10" x14ac:dyDescent="0.3">
      <c r="C16" s="17" t="s">
        <v>42</v>
      </c>
      <c r="D16" s="18" t="s">
        <v>13</v>
      </c>
      <c r="E16" s="18" t="s">
        <v>41</v>
      </c>
      <c r="F16" s="18" t="s">
        <v>35</v>
      </c>
      <c r="G16" s="21" t="s">
        <v>36</v>
      </c>
      <c r="H16" s="22">
        <v>315000</v>
      </c>
      <c r="I16" s="20">
        <v>48000</v>
      </c>
      <c r="J16" s="20">
        <f t="shared" ref="J16:J18" si="2">H16+I16</f>
        <v>363000</v>
      </c>
    </row>
    <row r="17" spans="1:10" x14ac:dyDescent="0.3">
      <c r="C17" s="17" t="s">
        <v>42</v>
      </c>
      <c r="D17" s="18" t="s">
        <v>13</v>
      </c>
      <c r="E17" s="18" t="s">
        <v>41</v>
      </c>
      <c r="F17" s="18" t="s">
        <v>35</v>
      </c>
      <c r="G17" s="21" t="s">
        <v>36</v>
      </c>
      <c r="H17" s="22">
        <v>315000</v>
      </c>
      <c r="I17" s="20">
        <v>48000</v>
      </c>
      <c r="J17" s="20">
        <f t="shared" si="2"/>
        <v>363000</v>
      </c>
    </row>
    <row r="18" spans="1:10" x14ac:dyDescent="0.3">
      <c r="C18" s="17" t="s">
        <v>42</v>
      </c>
      <c r="D18" s="18" t="s">
        <v>13</v>
      </c>
      <c r="E18" s="18" t="s">
        <v>41</v>
      </c>
      <c r="F18" s="18" t="s">
        <v>35</v>
      </c>
      <c r="G18" s="21" t="s">
        <v>36</v>
      </c>
      <c r="H18" s="22">
        <v>315000</v>
      </c>
      <c r="I18" s="20">
        <v>48000</v>
      </c>
      <c r="J18" s="20">
        <f t="shared" si="2"/>
        <v>363000</v>
      </c>
    </row>
    <row r="19" spans="1:10" x14ac:dyDescent="0.3">
      <c r="C19" s="17" t="s">
        <v>58</v>
      </c>
      <c r="D19" s="18" t="s">
        <v>13</v>
      </c>
      <c r="E19" s="18" t="s">
        <v>59</v>
      </c>
      <c r="F19" s="18" t="s">
        <v>60</v>
      </c>
      <c r="G19" s="21" t="s">
        <v>31</v>
      </c>
      <c r="H19" s="22">
        <v>530000</v>
      </c>
      <c r="I19" s="20">
        <v>48001</v>
      </c>
      <c r="J19" s="20">
        <f t="shared" ref="J19:J20" si="3">H19+I19</f>
        <v>578001</v>
      </c>
    </row>
    <row r="20" spans="1:10" x14ac:dyDescent="0.3">
      <c r="A20" s="29"/>
      <c r="B20" t="s">
        <v>211</v>
      </c>
      <c r="C20" s="3" t="s">
        <v>210</v>
      </c>
      <c r="D20" s="4" t="s">
        <v>61</v>
      </c>
      <c r="E20" s="18" t="s">
        <v>209</v>
      </c>
      <c r="F20" s="4"/>
      <c r="G20" s="5" t="s">
        <v>129</v>
      </c>
      <c r="H20" s="22">
        <v>240000</v>
      </c>
      <c r="I20" s="20"/>
      <c r="J20" s="20">
        <f t="shared" si="3"/>
        <v>240000</v>
      </c>
    </row>
    <row r="21" spans="1:10" x14ac:dyDescent="0.3">
      <c r="C21" s="3"/>
      <c r="D21" s="4"/>
      <c r="E21" s="4"/>
      <c r="F21" s="4"/>
      <c r="G21" s="5"/>
      <c r="H21" s="6"/>
      <c r="I21" s="7"/>
      <c r="J21" s="13"/>
    </row>
    <row r="22" spans="1:10" x14ac:dyDescent="0.3">
      <c r="A22" s="9">
        <v>2</v>
      </c>
      <c r="B22" s="9" t="s">
        <v>3</v>
      </c>
      <c r="C22" s="2"/>
      <c r="D22" s="2"/>
      <c r="E22" s="2"/>
      <c r="F22" s="2"/>
      <c r="G22" s="2"/>
      <c r="H22" s="2"/>
      <c r="I22" s="2"/>
      <c r="J22" s="10">
        <f>SUM(J23:J33)</f>
        <v>4873451</v>
      </c>
    </row>
    <row r="23" spans="1:10" x14ac:dyDescent="0.3">
      <c r="A23" s="26" t="s">
        <v>44</v>
      </c>
      <c r="B23" s="26" t="s">
        <v>43</v>
      </c>
      <c r="C23" s="17" t="s">
        <v>45</v>
      </c>
      <c r="D23" s="18" t="s">
        <v>39</v>
      </c>
      <c r="E23" s="18" t="s">
        <v>38</v>
      </c>
      <c r="F23" s="18" t="s">
        <v>52</v>
      </c>
      <c r="G23" s="21" t="s">
        <v>46</v>
      </c>
      <c r="H23" s="22">
        <v>527820</v>
      </c>
      <c r="I23" s="20">
        <v>320000</v>
      </c>
      <c r="J23" s="20">
        <f>H23+I23</f>
        <v>847820</v>
      </c>
    </row>
    <row r="24" spans="1:10" x14ac:dyDescent="0.3">
      <c r="C24" s="17" t="s">
        <v>45</v>
      </c>
      <c r="D24" s="18" t="s">
        <v>13</v>
      </c>
      <c r="E24" s="18" t="s">
        <v>47</v>
      </c>
      <c r="F24" s="18" t="s">
        <v>53</v>
      </c>
      <c r="G24" s="21" t="s">
        <v>46</v>
      </c>
      <c r="H24" s="22">
        <v>518298</v>
      </c>
      <c r="I24" s="20">
        <v>270000</v>
      </c>
      <c r="J24" s="20">
        <f t="shared" ref="J24:J31" si="4">H24+I24</f>
        <v>788298</v>
      </c>
    </row>
    <row r="25" spans="1:10" x14ac:dyDescent="0.3">
      <c r="C25" s="17" t="s">
        <v>45</v>
      </c>
      <c r="D25" s="18" t="s">
        <v>13</v>
      </c>
      <c r="E25" s="18" t="s">
        <v>48</v>
      </c>
      <c r="F25" s="18" t="s">
        <v>54</v>
      </c>
      <c r="G25" s="21" t="s">
        <v>51</v>
      </c>
      <c r="H25" s="22">
        <v>234963</v>
      </c>
      <c r="I25" s="20">
        <v>220000</v>
      </c>
      <c r="J25" s="20">
        <f t="shared" si="4"/>
        <v>454963</v>
      </c>
    </row>
    <row r="26" spans="1:10" x14ac:dyDescent="0.3">
      <c r="C26" s="17" t="s">
        <v>45</v>
      </c>
      <c r="D26" s="18" t="s">
        <v>27</v>
      </c>
      <c r="E26" s="18" t="s">
        <v>49</v>
      </c>
      <c r="F26" s="18" t="s">
        <v>55</v>
      </c>
      <c r="G26" s="21" t="s">
        <v>50</v>
      </c>
      <c r="H26" s="22">
        <v>291784</v>
      </c>
      <c r="I26" s="20">
        <v>220000</v>
      </c>
      <c r="J26" s="20">
        <f t="shared" si="4"/>
        <v>511784</v>
      </c>
    </row>
    <row r="27" spans="1:10" x14ac:dyDescent="0.3">
      <c r="C27" s="17" t="s">
        <v>45</v>
      </c>
      <c r="D27" s="18" t="s">
        <v>39</v>
      </c>
      <c r="E27" s="18" t="s">
        <v>56</v>
      </c>
      <c r="F27" s="18" t="s">
        <v>57</v>
      </c>
      <c r="G27" s="21" t="s">
        <v>40</v>
      </c>
      <c r="H27" s="22">
        <v>345518</v>
      </c>
      <c r="I27" s="20">
        <v>170000</v>
      </c>
      <c r="J27" s="20">
        <f t="shared" si="4"/>
        <v>515518</v>
      </c>
    </row>
    <row r="28" spans="1:10" x14ac:dyDescent="0.3">
      <c r="C28" s="17" t="s">
        <v>65</v>
      </c>
      <c r="D28" s="18" t="s">
        <v>61</v>
      </c>
      <c r="E28" s="18" t="s">
        <v>62</v>
      </c>
      <c r="F28" s="18" t="s">
        <v>63</v>
      </c>
      <c r="G28" s="21" t="s">
        <v>64</v>
      </c>
      <c r="H28" s="22">
        <v>190000</v>
      </c>
      <c r="I28" s="20"/>
      <c r="J28" s="20">
        <f t="shared" si="4"/>
        <v>190000</v>
      </c>
    </row>
    <row r="29" spans="1:10" x14ac:dyDescent="0.3">
      <c r="C29" s="17" t="s">
        <v>65</v>
      </c>
      <c r="D29" s="18" t="s">
        <v>61</v>
      </c>
      <c r="E29" s="18" t="s">
        <v>68</v>
      </c>
      <c r="F29" s="18" t="s">
        <v>66</v>
      </c>
      <c r="G29" s="21" t="s">
        <v>50</v>
      </c>
      <c r="H29" s="22">
        <v>295207</v>
      </c>
      <c r="I29" s="20"/>
      <c r="J29" s="20">
        <f t="shared" si="4"/>
        <v>295207</v>
      </c>
    </row>
    <row r="30" spans="1:10" x14ac:dyDescent="0.3">
      <c r="C30" s="17" t="s">
        <v>65</v>
      </c>
      <c r="D30" s="18" t="s">
        <v>61</v>
      </c>
      <c r="E30" s="18" t="s">
        <v>69</v>
      </c>
      <c r="F30" s="18" t="s">
        <v>67</v>
      </c>
      <c r="G30" s="21" t="s">
        <v>70</v>
      </c>
      <c r="H30" s="22">
        <v>299861</v>
      </c>
      <c r="I30" s="20"/>
      <c r="J30" s="20">
        <f t="shared" si="4"/>
        <v>299861</v>
      </c>
    </row>
    <row r="31" spans="1:10" x14ac:dyDescent="0.3">
      <c r="C31" s="17" t="s">
        <v>65</v>
      </c>
      <c r="D31" s="18" t="s">
        <v>72</v>
      </c>
      <c r="E31" s="18" t="s">
        <v>73</v>
      </c>
      <c r="F31" s="18" t="s">
        <v>71</v>
      </c>
      <c r="G31" s="21" t="s">
        <v>40</v>
      </c>
      <c r="H31" s="22">
        <v>290000</v>
      </c>
      <c r="I31" s="20"/>
      <c r="J31" s="20">
        <f t="shared" si="4"/>
        <v>290000</v>
      </c>
    </row>
    <row r="32" spans="1:10" x14ac:dyDescent="0.3">
      <c r="C32" s="17" t="s">
        <v>65</v>
      </c>
      <c r="D32" s="18" t="s">
        <v>72</v>
      </c>
      <c r="E32" s="18" t="s">
        <v>73</v>
      </c>
      <c r="F32" s="18" t="s">
        <v>74</v>
      </c>
      <c r="G32" s="21" t="s">
        <v>75</v>
      </c>
      <c r="H32" s="22">
        <v>340000</v>
      </c>
      <c r="I32" s="20"/>
      <c r="J32" s="20">
        <f t="shared" ref="J32:J41" si="5">H32+I32</f>
        <v>340000</v>
      </c>
    </row>
    <row r="33" spans="1:10" x14ac:dyDescent="0.3">
      <c r="C33" s="17" t="s">
        <v>65</v>
      </c>
      <c r="D33" s="18" t="s">
        <v>77</v>
      </c>
      <c r="E33" s="18" t="s">
        <v>78</v>
      </c>
      <c r="F33" s="18" t="s">
        <v>76</v>
      </c>
      <c r="G33" s="21" t="s">
        <v>75</v>
      </c>
      <c r="H33" s="22">
        <v>340000</v>
      </c>
      <c r="I33" s="20"/>
      <c r="J33" s="20">
        <f t="shared" si="5"/>
        <v>340000</v>
      </c>
    </row>
    <row r="34" spans="1:10" x14ac:dyDescent="0.3">
      <c r="C34" s="3"/>
      <c r="D34" s="4"/>
      <c r="E34" s="4"/>
      <c r="F34" s="4"/>
      <c r="G34" s="5"/>
      <c r="H34" s="6"/>
      <c r="I34" s="8"/>
      <c r="J34" s="8"/>
    </row>
    <row r="35" spans="1:10" x14ac:dyDescent="0.3">
      <c r="A35" s="9">
        <v>3</v>
      </c>
      <c r="B35" s="9" t="s">
        <v>80</v>
      </c>
      <c r="C35" s="3"/>
      <c r="D35" s="4"/>
      <c r="E35" s="4"/>
      <c r="F35" s="4"/>
      <c r="G35" s="5"/>
      <c r="H35" s="6"/>
      <c r="I35" s="8"/>
      <c r="J35" s="10">
        <f>SUM(J36:J58)</f>
        <v>2106173</v>
      </c>
    </row>
    <row r="36" spans="1:10" x14ac:dyDescent="0.3">
      <c r="A36" s="26" t="s">
        <v>79</v>
      </c>
      <c r="B36" s="26" t="s">
        <v>81</v>
      </c>
      <c r="C36" s="17" t="s">
        <v>84</v>
      </c>
      <c r="D36" s="18" t="s">
        <v>13</v>
      </c>
      <c r="E36" s="18" t="s">
        <v>86</v>
      </c>
      <c r="F36" s="18" t="s">
        <v>82</v>
      </c>
      <c r="G36" s="21" t="s">
        <v>87</v>
      </c>
      <c r="H36" s="22">
        <v>41344</v>
      </c>
      <c r="I36" s="20"/>
      <c r="J36" s="20">
        <f t="shared" si="5"/>
        <v>41344</v>
      </c>
    </row>
    <row r="37" spans="1:10" x14ac:dyDescent="0.3">
      <c r="C37" s="17" t="s">
        <v>85</v>
      </c>
      <c r="D37" s="18" t="s">
        <v>13</v>
      </c>
      <c r="E37" s="18" t="s">
        <v>86</v>
      </c>
      <c r="F37" s="18" t="s">
        <v>83</v>
      </c>
      <c r="G37" s="21" t="s">
        <v>87</v>
      </c>
      <c r="H37" s="22">
        <v>42774</v>
      </c>
      <c r="I37" s="20"/>
      <c r="J37" s="20">
        <f t="shared" si="5"/>
        <v>42774</v>
      </c>
    </row>
    <row r="38" spans="1:10" x14ac:dyDescent="0.3">
      <c r="C38" s="17" t="s">
        <v>92</v>
      </c>
      <c r="D38" s="18" t="s">
        <v>90</v>
      </c>
      <c r="E38" s="18" t="s">
        <v>91</v>
      </c>
      <c r="F38" s="18" t="s">
        <v>88</v>
      </c>
      <c r="G38" s="21" t="s">
        <v>31</v>
      </c>
      <c r="H38" s="22">
        <v>135011</v>
      </c>
      <c r="I38" s="20"/>
      <c r="J38" s="20">
        <f t="shared" si="5"/>
        <v>135011</v>
      </c>
    </row>
    <row r="39" spans="1:10" x14ac:dyDescent="0.3">
      <c r="C39" s="17" t="s">
        <v>92</v>
      </c>
      <c r="D39" s="18" t="s">
        <v>90</v>
      </c>
      <c r="E39" s="18" t="s">
        <v>91</v>
      </c>
      <c r="F39" s="18" t="s">
        <v>89</v>
      </c>
      <c r="G39" s="21" t="s">
        <v>40</v>
      </c>
      <c r="H39" s="28">
        <v>108900</v>
      </c>
      <c r="I39" s="20"/>
      <c r="J39" s="20">
        <f t="shared" si="5"/>
        <v>108900</v>
      </c>
    </row>
    <row r="40" spans="1:10" x14ac:dyDescent="0.3">
      <c r="C40" s="17" t="s">
        <v>96</v>
      </c>
      <c r="D40" s="18" t="s">
        <v>97</v>
      </c>
      <c r="E40" s="18" t="s">
        <v>98</v>
      </c>
      <c r="F40" s="18" t="s">
        <v>93</v>
      </c>
      <c r="G40" s="21" t="s">
        <v>46</v>
      </c>
      <c r="H40" s="22">
        <v>156674</v>
      </c>
      <c r="I40" s="20"/>
      <c r="J40" s="20">
        <f t="shared" si="5"/>
        <v>156674</v>
      </c>
    </row>
    <row r="41" spans="1:10" x14ac:dyDescent="0.3">
      <c r="C41" s="17" t="s">
        <v>96</v>
      </c>
      <c r="D41" s="18" t="s">
        <v>97</v>
      </c>
      <c r="E41" s="18" t="s">
        <v>98</v>
      </c>
      <c r="F41" s="18" t="s">
        <v>94</v>
      </c>
      <c r="G41" s="21" t="s">
        <v>40</v>
      </c>
      <c r="H41" s="22">
        <v>147825</v>
      </c>
      <c r="I41" s="20"/>
      <c r="J41" s="20">
        <f t="shared" si="5"/>
        <v>147825</v>
      </c>
    </row>
    <row r="42" spans="1:10" x14ac:dyDescent="0.3">
      <c r="C42" s="17" t="s">
        <v>96</v>
      </c>
      <c r="D42" s="18" t="s">
        <v>97</v>
      </c>
      <c r="E42" s="18" t="s">
        <v>98</v>
      </c>
      <c r="F42" s="18" t="s">
        <v>95</v>
      </c>
      <c r="G42" s="21" t="s">
        <v>46</v>
      </c>
      <c r="H42" s="22">
        <v>156674</v>
      </c>
      <c r="I42" s="20"/>
      <c r="J42" s="20">
        <f t="shared" ref="J42:J50" si="6">H42+I42</f>
        <v>156674</v>
      </c>
    </row>
    <row r="43" spans="1:10" x14ac:dyDescent="0.3">
      <c r="C43" s="17" t="s">
        <v>108</v>
      </c>
      <c r="D43" s="18" t="s">
        <v>110</v>
      </c>
      <c r="E43" s="18" t="s">
        <v>111</v>
      </c>
      <c r="F43" s="18" t="s">
        <v>99</v>
      </c>
      <c r="G43" s="21" t="s">
        <v>40</v>
      </c>
      <c r="H43" s="22">
        <v>72167</v>
      </c>
      <c r="I43" s="20"/>
      <c r="J43" s="20">
        <f t="shared" si="6"/>
        <v>72167</v>
      </c>
    </row>
    <row r="44" spans="1:10" x14ac:dyDescent="0.3">
      <c r="C44" s="17" t="s">
        <v>108</v>
      </c>
      <c r="D44" s="18" t="s">
        <v>110</v>
      </c>
      <c r="E44" s="18" t="s">
        <v>111</v>
      </c>
      <c r="F44" s="18" t="s">
        <v>100</v>
      </c>
      <c r="G44" s="21" t="s">
        <v>40</v>
      </c>
      <c r="H44" s="22">
        <v>72167</v>
      </c>
      <c r="I44" s="20"/>
      <c r="J44" s="20">
        <f t="shared" si="6"/>
        <v>72167</v>
      </c>
    </row>
    <row r="45" spans="1:10" x14ac:dyDescent="0.3">
      <c r="C45" s="17" t="s">
        <v>108</v>
      </c>
      <c r="D45" s="18" t="s">
        <v>110</v>
      </c>
      <c r="E45" s="18" t="s">
        <v>111</v>
      </c>
      <c r="F45" s="18" t="s">
        <v>101</v>
      </c>
      <c r="G45" s="21" t="s">
        <v>40</v>
      </c>
      <c r="H45" s="22">
        <v>69575</v>
      </c>
      <c r="I45" s="20"/>
      <c r="J45" s="20">
        <f t="shared" si="6"/>
        <v>69575</v>
      </c>
    </row>
    <row r="46" spans="1:10" x14ac:dyDescent="0.3">
      <c r="C46" s="17" t="s">
        <v>108</v>
      </c>
      <c r="D46" s="18" t="s">
        <v>110</v>
      </c>
      <c r="E46" s="18" t="s">
        <v>111</v>
      </c>
      <c r="F46" s="18" t="s">
        <v>102</v>
      </c>
      <c r="G46" s="21" t="s">
        <v>40</v>
      </c>
      <c r="H46" s="22">
        <v>72167</v>
      </c>
      <c r="I46" s="20"/>
      <c r="J46" s="20">
        <f t="shared" si="6"/>
        <v>72167</v>
      </c>
    </row>
    <row r="47" spans="1:10" x14ac:dyDescent="0.3">
      <c r="C47" s="17" t="s">
        <v>108</v>
      </c>
      <c r="D47" s="18" t="s">
        <v>110</v>
      </c>
      <c r="E47" s="18" t="s">
        <v>111</v>
      </c>
      <c r="F47" s="18" t="s">
        <v>103</v>
      </c>
      <c r="G47" s="21" t="s">
        <v>40</v>
      </c>
      <c r="H47" s="22">
        <v>72167</v>
      </c>
      <c r="I47" s="20"/>
      <c r="J47" s="20">
        <f t="shared" si="6"/>
        <v>72167</v>
      </c>
    </row>
    <row r="48" spans="1:10" x14ac:dyDescent="0.3">
      <c r="C48" s="17" t="s">
        <v>108</v>
      </c>
      <c r="D48" s="18" t="s">
        <v>110</v>
      </c>
      <c r="E48" s="18" t="s">
        <v>111</v>
      </c>
      <c r="F48" s="18" t="s">
        <v>104</v>
      </c>
      <c r="G48" s="21" t="s">
        <v>40</v>
      </c>
      <c r="H48" s="22">
        <v>72167</v>
      </c>
      <c r="I48" s="20"/>
      <c r="J48" s="20">
        <f t="shared" si="6"/>
        <v>72167</v>
      </c>
    </row>
    <row r="49" spans="3:10" x14ac:dyDescent="0.3">
      <c r="C49" s="17" t="s">
        <v>109</v>
      </c>
      <c r="D49" s="18" t="s">
        <v>110</v>
      </c>
      <c r="E49" s="18" t="s">
        <v>112</v>
      </c>
      <c r="F49" s="18" t="s">
        <v>105</v>
      </c>
      <c r="G49" s="21" t="s">
        <v>32</v>
      </c>
      <c r="H49" s="22">
        <v>66886</v>
      </c>
      <c r="I49" s="20"/>
      <c r="J49" s="20">
        <f t="shared" si="6"/>
        <v>66886</v>
      </c>
    </row>
    <row r="50" spans="3:10" x14ac:dyDescent="0.3">
      <c r="C50" s="17" t="s">
        <v>109</v>
      </c>
      <c r="D50" s="18" t="s">
        <v>110</v>
      </c>
      <c r="E50" s="18" t="s">
        <v>112</v>
      </c>
      <c r="F50" s="18" t="s">
        <v>106</v>
      </c>
      <c r="G50" s="21" t="s">
        <v>113</v>
      </c>
      <c r="H50" s="22">
        <v>68559</v>
      </c>
      <c r="I50" s="20"/>
      <c r="J50" s="20">
        <f t="shared" si="6"/>
        <v>68559</v>
      </c>
    </row>
    <row r="51" spans="3:10" x14ac:dyDescent="0.3">
      <c r="C51" s="17" t="s">
        <v>114</v>
      </c>
      <c r="D51" s="18" t="s">
        <v>110</v>
      </c>
      <c r="E51" s="18" t="s">
        <v>112</v>
      </c>
      <c r="F51" s="18" t="s">
        <v>107</v>
      </c>
      <c r="G51" s="21" t="s">
        <v>46</v>
      </c>
      <c r="H51" s="28">
        <v>67500</v>
      </c>
      <c r="I51" s="20"/>
      <c r="J51" s="20">
        <f t="shared" ref="J51" si="7">H51+I51</f>
        <v>67500</v>
      </c>
    </row>
    <row r="52" spans="3:10" x14ac:dyDescent="0.3">
      <c r="C52" s="17" t="s">
        <v>118</v>
      </c>
      <c r="D52" s="18" t="s">
        <v>110</v>
      </c>
      <c r="E52" s="18" t="s">
        <v>119</v>
      </c>
      <c r="F52" s="18" t="s">
        <v>115</v>
      </c>
      <c r="G52" s="21" t="s">
        <v>31</v>
      </c>
      <c r="H52" s="22">
        <v>74226</v>
      </c>
      <c r="I52" s="20"/>
      <c r="J52" s="20">
        <f t="shared" ref="J52" si="8">H52+I52</f>
        <v>74226</v>
      </c>
    </row>
    <row r="53" spans="3:10" x14ac:dyDescent="0.3">
      <c r="C53" s="17" t="s">
        <v>118</v>
      </c>
      <c r="D53" s="18" t="s">
        <v>110</v>
      </c>
      <c r="E53" s="18" t="s">
        <v>119</v>
      </c>
      <c r="F53" s="18" t="s">
        <v>116</v>
      </c>
      <c r="G53" s="21" t="s">
        <v>31</v>
      </c>
      <c r="H53" s="22">
        <v>74226</v>
      </c>
      <c r="I53" s="20"/>
      <c r="J53" s="20">
        <f t="shared" ref="J53:J58" si="9">H53+I53</f>
        <v>74226</v>
      </c>
    </row>
    <row r="54" spans="3:10" x14ac:dyDescent="0.3">
      <c r="C54" s="17" t="s">
        <v>118</v>
      </c>
      <c r="D54" s="18" t="s">
        <v>110</v>
      </c>
      <c r="E54" s="18" t="s">
        <v>119</v>
      </c>
      <c r="F54" s="18" t="s">
        <v>117</v>
      </c>
      <c r="G54" s="21" t="s">
        <v>46</v>
      </c>
      <c r="H54" s="28">
        <v>77000</v>
      </c>
      <c r="I54" s="20"/>
      <c r="J54" s="20">
        <f t="shared" si="9"/>
        <v>77000</v>
      </c>
    </row>
    <row r="55" spans="3:10" x14ac:dyDescent="0.3">
      <c r="C55" s="17" t="s">
        <v>123</v>
      </c>
      <c r="D55" s="18" t="s">
        <v>110</v>
      </c>
      <c r="E55" s="18" t="s">
        <v>125</v>
      </c>
      <c r="F55" s="18" t="s">
        <v>120</v>
      </c>
      <c r="G55" s="21" t="s">
        <v>40</v>
      </c>
      <c r="H55" s="28">
        <v>103233</v>
      </c>
      <c r="I55" s="20"/>
      <c r="J55" s="20">
        <f t="shared" si="9"/>
        <v>103233</v>
      </c>
    </row>
    <row r="56" spans="3:10" x14ac:dyDescent="0.3">
      <c r="C56" s="17" t="s">
        <v>123</v>
      </c>
      <c r="D56" s="18" t="s">
        <v>110</v>
      </c>
      <c r="E56" s="18" t="s">
        <v>125</v>
      </c>
      <c r="F56" s="18" t="s">
        <v>121</v>
      </c>
      <c r="G56" s="21" t="s">
        <v>40</v>
      </c>
      <c r="H56" s="22">
        <v>103233</v>
      </c>
      <c r="I56" s="20"/>
      <c r="J56" s="20">
        <f t="shared" si="9"/>
        <v>103233</v>
      </c>
    </row>
    <row r="57" spans="3:10" x14ac:dyDescent="0.3">
      <c r="C57" s="17" t="s">
        <v>124</v>
      </c>
      <c r="D57" s="18" t="s">
        <v>110</v>
      </c>
      <c r="E57" s="18" t="s">
        <v>125</v>
      </c>
      <c r="F57" s="18" t="s">
        <v>122</v>
      </c>
      <c r="G57" s="21" t="s">
        <v>40</v>
      </c>
      <c r="H57" s="22">
        <v>113172</v>
      </c>
      <c r="I57" s="20"/>
      <c r="J57" s="20">
        <f t="shared" si="9"/>
        <v>113172</v>
      </c>
    </row>
    <row r="58" spans="3:10" x14ac:dyDescent="0.3">
      <c r="C58" s="17" t="s">
        <v>127</v>
      </c>
      <c r="D58" s="18" t="s">
        <v>39</v>
      </c>
      <c r="E58" s="18" t="s">
        <v>128</v>
      </c>
      <c r="F58" s="18" t="s">
        <v>126</v>
      </c>
      <c r="G58" s="21" t="s">
        <v>129</v>
      </c>
      <c r="H58" s="22">
        <v>138526</v>
      </c>
      <c r="I58" s="20"/>
      <c r="J58" s="20">
        <f t="shared" si="9"/>
        <v>138526</v>
      </c>
    </row>
  </sheetData>
  <phoneticPr fontId="6" type="noConversion"/>
  <pageMargins left="0.75" right="0.75" top="1" bottom="1" header="0.5" footer="0.5"/>
  <ignoredErrors>
    <ignoredError sqref="E11:E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CD46-7A80-4297-9292-DCCAF6DBB479}">
  <dimension ref="A1:F92"/>
  <sheetViews>
    <sheetView tabSelected="1" topLeftCell="A7" workbookViewId="0">
      <selection activeCell="L62" sqref="L62"/>
    </sheetView>
  </sheetViews>
  <sheetFormatPr defaultRowHeight="14.4" x14ac:dyDescent="0.3"/>
  <cols>
    <col min="1" max="1" width="15" customWidth="1"/>
    <col min="2" max="2" width="29.44140625" bestFit="1" customWidth="1"/>
    <col min="3" max="3" width="37" bestFit="1" customWidth="1"/>
    <col min="4" max="4" width="15" customWidth="1"/>
    <col min="5" max="5" width="21" bestFit="1" customWidth="1"/>
    <col min="6" max="6" width="1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131</v>
      </c>
      <c r="E1" s="1" t="s">
        <v>16</v>
      </c>
      <c r="F1" s="1" t="s">
        <v>17</v>
      </c>
    </row>
    <row r="2" spans="1:6" x14ac:dyDescent="0.3">
      <c r="A2" s="9">
        <v>4</v>
      </c>
      <c r="B2" s="9" t="s">
        <v>5</v>
      </c>
      <c r="C2" s="2"/>
      <c r="D2" s="2"/>
      <c r="E2" s="2"/>
      <c r="F2" s="10">
        <f>SUM(E3:E17)</f>
        <v>465700</v>
      </c>
    </row>
    <row r="3" spans="1:6" x14ac:dyDescent="0.3">
      <c r="A3" s="12"/>
      <c r="B3" s="11"/>
      <c r="C3" s="17" t="s">
        <v>130</v>
      </c>
      <c r="D3" s="25">
        <v>1</v>
      </c>
      <c r="E3" s="19">
        <v>15000</v>
      </c>
      <c r="F3" s="20"/>
    </row>
    <row r="4" spans="1:6" x14ac:dyDescent="0.3">
      <c r="C4" s="17" t="s">
        <v>132</v>
      </c>
      <c r="D4" s="25">
        <f>44+4</f>
        <v>48</v>
      </c>
      <c r="E4" s="19">
        <f>154000+4500+6600</f>
        <v>165100</v>
      </c>
      <c r="F4" s="20"/>
    </row>
    <row r="5" spans="1:6" x14ac:dyDescent="0.3">
      <c r="C5" s="17" t="s">
        <v>133</v>
      </c>
      <c r="D5" s="25">
        <v>8</v>
      </c>
      <c r="E5" s="19">
        <v>60000</v>
      </c>
      <c r="F5" s="20"/>
    </row>
    <row r="6" spans="1:6" x14ac:dyDescent="0.3">
      <c r="C6" s="17" t="s">
        <v>134</v>
      </c>
      <c r="D6" s="25">
        <f>76-7</f>
        <v>69</v>
      </c>
      <c r="E6" s="19">
        <f>114000-10500</f>
        <v>103500</v>
      </c>
      <c r="F6" s="20"/>
    </row>
    <row r="7" spans="1:6" x14ac:dyDescent="0.3">
      <c r="C7" s="17" t="s">
        <v>135</v>
      </c>
      <c r="D7" s="25">
        <f>14-2</f>
        <v>12</v>
      </c>
      <c r="E7" s="19">
        <f>21000-3000</f>
        <v>18000</v>
      </c>
      <c r="F7" s="20"/>
    </row>
    <row r="8" spans="1:6" x14ac:dyDescent="0.3">
      <c r="C8" s="17" t="s">
        <v>136</v>
      </c>
      <c r="D8" s="25">
        <v>14</v>
      </c>
      <c r="E8" s="19">
        <v>8400</v>
      </c>
      <c r="F8" s="20"/>
    </row>
    <row r="9" spans="1:6" x14ac:dyDescent="0.3">
      <c r="C9" s="17" t="s">
        <v>137</v>
      </c>
      <c r="D9" s="25">
        <v>1</v>
      </c>
      <c r="E9" s="19">
        <v>9000</v>
      </c>
      <c r="F9" s="20"/>
    </row>
    <row r="10" spans="1:6" x14ac:dyDescent="0.3">
      <c r="C10" s="17" t="s">
        <v>138</v>
      </c>
      <c r="D10" s="25">
        <v>1</v>
      </c>
      <c r="E10" s="19">
        <v>9000</v>
      </c>
      <c r="F10" s="20"/>
    </row>
    <row r="11" spans="1:6" x14ac:dyDescent="0.3">
      <c r="C11" s="17" t="s">
        <v>139</v>
      </c>
      <c r="D11" s="25">
        <v>1</v>
      </c>
      <c r="E11" s="19">
        <v>9000</v>
      </c>
      <c r="F11" s="20"/>
    </row>
    <row r="12" spans="1:6" x14ac:dyDescent="0.3">
      <c r="C12" s="17" t="s">
        <v>140</v>
      </c>
      <c r="D12" s="25">
        <v>1</v>
      </c>
      <c r="E12" s="19">
        <v>9000</v>
      </c>
      <c r="F12" s="20"/>
    </row>
    <row r="13" spans="1:6" x14ac:dyDescent="0.3">
      <c r="C13" s="17" t="s">
        <v>141</v>
      </c>
      <c r="D13" s="25">
        <v>1</v>
      </c>
      <c r="E13" s="19">
        <v>9000</v>
      </c>
      <c r="F13" s="20"/>
    </row>
    <row r="14" spans="1:6" x14ac:dyDescent="0.3">
      <c r="C14" s="17" t="s">
        <v>142</v>
      </c>
      <c r="D14" s="25">
        <v>1</v>
      </c>
      <c r="E14" s="19">
        <v>9000</v>
      </c>
      <c r="F14" s="20"/>
    </row>
    <row r="15" spans="1:6" x14ac:dyDescent="0.3">
      <c r="C15" s="17" t="s">
        <v>143</v>
      </c>
      <c r="D15" s="25">
        <v>1</v>
      </c>
      <c r="E15" s="19">
        <v>9000</v>
      </c>
      <c r="F15" s="20"/>
    </row>
    <row r="16" spans="1:6" x14ac:dyDescent="0.3">
      <c r="C16" s="17" t="s">
        <v>144</v>
      </c>
      <c r="D16" s="25">
        <v>1</v>
      </c>
      <c r="E16" s="19">
        <v>8400</v>
      </c>
      <c r="F16" s="20"/>
    </row>
    <row r="17" spans="1:6" x14ac:dyDescent="0.3">
      <c r="C17" s="17" t="s">
        <v>149</v>
      </c>
      <c r="D17" s="25">
        <f>14+2</f>
        <v>16</v>
      </c>
      <c r="E17" s="19">
        <f>21000+1000+2300</f>
        <v>24300</v>
      </c>
      <c r="F17" s="20"/>
    </row>
    <row r="18" spans="1:6" x14ac:dyDescent="0.3">
      <c r="C18" s="3"/>
      <c r="D18" s="4"/>
      <c r="E18" s="4"/>
      <c r="F18" s="13"/>
    </row>
    <row r="19" spans="1:6" x14ac:dyDescent="0.3">
      <c r="A19" s="9">
        <v>5</v>
      </c>
      <c r="B19" s="9" t="s">
        <v>150</v>
      </c>
      <c r="C19" s="2"/>
      <c r="D19" s="2"/>
      <c r="E19" s="2"/>
      <c r="F19" s="10">
        <f>SUM(E20:E47)</f>
        <v>910525</v>
      </c>
    </row>
    <row r="20" spans="1:6" x14ac:dyDescent="0.3">
      <c r="A20" s="27"/>
      <c r="B20" s="27"/>
      <c r="C20" s="17" t="s">
        <v>151</v>
      </c>
      <c r="D20" s="25">
        <v>3</v>
      </c>
      <c r="E20" s="19">
        <v>2800</v>
      </c>
      <c r="F20" s="20"/>
    </row>
    <row r="21" spans="1:6" x14ac:dyDescent="0.3">
      <c r="C21" s="17" t="s">
        <v>145</v>
      </c>
      <c r="D21" s="25">
        <v>70</v>
      </c>
      <c r="E21" s="19">
        <v>49000</v>
      </c>
      <c r="F21" s="20"/>
    </row>
    <row r="22" spans="1:6" x14ac:dyDescent="0.3">
      <c r="C22" s="17" t="s">
        <v>145</v>
      </c>
      <c r="D22" s="25">
        <v>17</v>
      </c>
      <c r="E22" s="19">
        <v>28560</v>
      </c>
      <c r="F22" s="20"/>
    </row>
    <row r="23" spans="1:6" x14ac:dyDescent="0.3">
      <c r="C23" s="17" t="s">
        <v>146</v>
      </c>
      <c r="D23" s="25">
        <v>3</v>
      </c>
      <c r="E23" s="19">
        <v>12000</v>
      </c>
      <c r="F23" s="20"/>
    </row>
    <row r="24" spans="1:6" x14ac:dyDescent="0.3">
      <c r="C24" s="17" t="s">
        <v>147</v>
      </c>
      <c r="D24" s="25">
        <v>2</v>
      </c>
      <c r="E24" s="19">
        <v>6000</v>
      </c>
      <c r="F24" s="20"/>
    </row>
    <row r="25" spans="1:6" x14ac:dyDescent="0.3">
      <c r="C25" s="17" t="s">
        <v>148</v>
      </c>
      <c r="D25" s="25">
        <v>103</v>
      </c>
      <c r="E25" s="19">
        <v>46350</v>
      </c>
      <c r="F25" s="20"/>
    </row>
    <row r="26" spans="1:6" x14ac:dyDescent="0.3">
      <c r="C26" s="17" t="s">
        <v>148</v>
      </c>
      <c r="D26" s="25">
        <v>4</v>
      </c>
      <c r="E26" s="19">
        <v>3200</v>
      </c>
      <c r="F26" s="20"/>
    </row>
    <row r="27" spans="1:6" x14ac:dyDescent="0.3">
      <c r="C27" s="17" t="s">
        <v>148</v>
      </c>
      <c r="D27" s="25">
        <v>1</v>
      </c>
      <c r="E27" s="19">
        <v>900</v>
      </c>
      <c r="F27" s="20"/>
    </row>
    <row r="28" spans="1:6" x14ac:dyDescent="0.3">
      <c r="C28" s="17" t="s">
        <v>148</v>
      </c>
      <c r="D28" s="25">
        <f>13+2</f>
        <v>15</v>
      </c>
      <c r="E28" s="19">
        <f>7800+800</f>
        <v>8600</v>
      </c>
      <c r="F28" s="20"/>
    </row>
    <row r="29" spans="1:6" x14ac:dyDescent="0.3">
      <c r="C29" s="17" t="s">
        <v>152</v>
      </c>
      <c r="D29" s="25">
        <v>30</v>
      </c>
      <c r="E29" s="19">
        <v>90000</v>
      </c>
      <c r="F29" s="20"/>
    </row>
    <row r="30" spans="1:6" x14ac:dyDescent="0.3">
      <c r="C30" s="17" t="s">
        <v>153</v>
      </c>
      <c r="D30" s="25">
        <v>4</v>
      </c>
      <c r="E30" s="19">
        <v>2800</v>
      </c>
      <c r="F30" s="20"/>
    </row>
    <row r="31" spans="1:6" x14ac:dyDescent="0.3">
      <c r="C31" s="17" t="s">
        <v>154</v>
      </c>
      <c r="D31" s="25">
        <v>165</v>
      </c>
      <c r="E31" s="19">
        <v>130350</v>
      </c>
      <c r="F31" s="20"/>
    </row>
    <row r="32" spans="1:6" x14ac:dyDescent="0.3">
      <c r="C32" s="17" t="s">
        <v>155</v>
      </c>
      <c r="D32" s="25">
        <f>320+80</f>
        <v>400</v>
      </c>
      <c r="E32" s="19">
        <f>96000+14800</f>
        <v>110800</v>
      </c>
      <c r="F32" s="20"/>
    </row>
    <row r="33" spans="3:6" x14ac:dyDescent="0.3">
      <c r="C33" s="17" t="s">
        <v>156</v>
      </c>
      <c r="D33" s="25">
        <v>1</v>
      </c>
      <c r="E33" s="19">
        <v>2800</v>
      </c>
      <c r="F33" s="20"/>
    </row>
    <row r="34" spans="3:6" x14ac:dyDescent="0.3">
      <c r="C34" s="17" t="s">
        <v>157</v>
      </c>
      <c r="D34" s="25">
        <v>9</v>
      </c>
      <c r="E34" s="19">
        <v>16200</v>
      </c>
      <c r="F34" s="20"/>
    </row>
    <row r="35" spans="3:6" x14ac:dyDescent="0.3">
      <c r="C35" s="17" t="s">
        <v>158</v>
      </c>
      <c r="D35" s="25">
        <v>6</v>
      </c>
      <c r="E35" s="19">
        <v>6900</v>
      </c>
      <c r="F35" s="20"/>
    </row>
    <row r="36" spans="3:6" x14ac:dyDescent="0.3">
      <c r="C36" s="17" t="s">
        <v>159</v>
      </c>
      <c r="D36" s="25">
        <f>180+55</f>
        <v>235</v>
      </c>
      <c r="E36" s="19">
        <f>72000+39600</f>
        <v>111600</v>
      </c>
      <c r="F36" s="20"/>
    </row>
    <row r="37" spans="3:6" x14ac:dyDescent="0.3">
      <c r="C37" s="17" t="s">
        <v>160</v>
      </c>
      <c r="D37" s="25">
        <f>5+3</f>
        <v>8</v>
      </c>
      <c r="E37" s="19">
        <f>9000+4860</f>
        <v>13860</v>
      </c>
      <c r="F37" s="20"/>
    </row>
    <row r="38" spans="3:6" x14ac:dyDescent="0.3">
      <c r="C38" s="17" t="s">
        <v>161</v>
      </c>
      <c r="D38" s="25">
        <f>74+25</f>
        <v>99</v>
      </c>
      <c r="E38" s="19">
        <f>33300+5475</f>
        <v>38775</v>
      </c>
      <c r="F38" s="20"/>
    </row>
    <row r="39" spans="3:6" x14ac:dyDescent="0.3">
      <c r="C39" s="17" t="s">
        <v>162</v>
      </c>
      <c r="D39" s="25">
        <f>80+5</f>
        <v>85</v>
      </c>
      <c r="E39" s="19">
        <f>12000+550</f>
        <v>12550</v>
      </c>
      <c r="F39" s="20"/>
    </row>
    <row r="40" spans="3:6" x14ac:dyDescent="0.3">
      <c r="C40" s="17" t="s">
        <v>163</v>
      </c>
      <c r="D40" s="25">
        <v>25</v>
      </c>
      <c r="E40" s="19">
        <v>15000</v>
      </c>
    </row>
    <row r="41" spans="3:6" x14ac:dyDescent="0.3">
      <c r="C41" s="17" t="s">
        <v>164</v>
      </c>
      <c r="D41" s="25">
        <f>9+1</f>
        <v>10</v>
      </c>
      <c r="E41" s="19">
        <f>31500+1700</f>
        <v>33200</v>
      </c>
      <c r="F41" s="20"/>
    </row>
    <row r="42" spans="3:6" x14ac:dyDescent="0.3">
      <c r="C42" s="17" t="s">
        <v>165</v>
      </c>
      <c r="D42" s="25">
        <v>25</v>
      </c>
      <c r="E42" s="19">
        <v>25000</v>
      </c>
      <c r="F42" s="20"/>
    </row>
    <row r="43" spans="3:6" x14ac:dyDescent="0.3">
      <c r="C43" s="17" t="s">
        <v>166</v>
      </c>
      <c r="D43" s="25">
        <f>42+8</f>
        <v>50</v>
      </c>
      <c r="E43" s="19">
        <f>25200+4000</f>
        <v>29200</v>
      </c>
      <c r="F43" s="20"/>
    </row>
    <row r="44" spans="3:6" x14ac:dyDescent="0.3">
      <c r="C44" s="17" t="s">
        <v>167</v>
      </c>
      <c r="D44" s="25">
        <f>3+2</f>
        <v>5</v>
      </c>
      <c r="E44" s="19">
        <f>45000+25080</f>
        <v>70080</v>
      </c>
      <c r="F44" s="20"/>
    </row>
    <row r="45" spans="3:6" x14ac:dyDescent="0.3">
      <c r="C45" s="17" t="s">
        <v>167</v>
      </c>
      <c r="D45" s="25">
        <v>1</v>
      </c>
      <c r="E45" s="19">
        <v>18000</v>
      </c>
      <c r="F45" s="20"/>
    </row>
    <row r="46" spans="3:6" x14ac:dyDescent="0.3">
      <c r="C46" s="17" t="s">
        <v>168</v>
      </c>
      <c r="D46" s="25">
        <v>7</v>
      </c>
      <c r="E46" s="19">
        <v>3500</v>
      </c>
      <c r="F46" s="20"/>
    </row>
    <row r="47" spans="3:6" x14ac:dyDescent="0.3">
      <c r="C47" s="17" t="s">
        <v>169</v>
      </c>
      <c r="D47" s="25">
        <v>15</v>
      </c>
      <c r="E47" s="19">
        <v>22500</v>
      </c>
      <c r="F47" s="20"/>
    </row>
    <row r="48" spans="3:6" x14ac:dyDescent="0.3">
      <c r="C48" s="3"/>
      <c r="D48" s="4"/>
      <c r="E48" s="14"/>
      <c r="F48" s="15"/>
    </row>
    <row r="49" spans="1:6" x14ac:dyDescent="0.3">
      <c r="A49" s="9">
        <v>6</v>
      </c>
      <c r="B49" s="9" t="s">
        <v>205</v>
      </c>
      <c r="C49" s="3"/>
      <c r="D49" s="4"/>
      <c r="E49" s="14"/>
      <c r="F49" s="10">
        <f>SUM(F51+F78)</f>
        <v>2791095.2</v>
      </c>
    </row>
    <row r="50" spans="1:6" ht="9.75" customHeight="1" x14ac:dyDescent="0.3">
      <c r="A50" s="23"/>
      <c r="B50" s="23"/>
      <c r="C50" s="3"/>
      <c r="D50" s="4"/>
      <c r="E50" s="14"/>
      <c r="F50" s="24"/>
    </row>
    <row r="51" spans="1:6" x14ac:dyDescent="0.3">
      <c r="A51" s="26" t="s">
        <v>206</v>
      </c>
      <c r="B51" s="26" t="s">
        <v>4</v>
      </c>
      <c r="C51" s="3"/>
      <c r="D51" s="4"/>
      <c r="E51" s="14"/>
      <c r="F51" s="16">
        <f>SUM(E52:E77)</f>
        <v>2130734.88</v>
      </c>
    </row>
    <row r="52" spans="1:6" x14ac:dyDescent="0.3">
      <c r="C52" s="17" t="s">
        <v>203</v>
      </c>
      <c r="D52" s="25">
        <f>7+1+1</f>
        <v>9</v>
      </c>
      <c r="E52" s="19">
        <f>101500+11390+14590</f>
        <v>127480</v>
      </c>
      <c r="F52" s="20"/>
    </row>
    <row r="53" spans="1:6" x14ac:dyDescent="0.3">
      <c r="C53" s="17" t="s">
        <v>215</v>
      </c>
      <c r="D53" s="25">
        <f>1+3</f>
        <v>4</v>
      </c>
      <c r="E53" s="19">
        <f>25000+9500+12000+8000</f>
        <v>54500</v>
      </c>
      <c r="F53" s="20"/>
    </row>
    <row r="54" spans="1:6" x14ac:dyDescent="0.3">
      <c r="C54" s="17" t="s">
        <v>214</v>
      </c>
      <c r="D54" s="25">
        <f>2</f>
        <v>2</v>
      </c>
      <c r="E54" s="19">
        <f>72000</f>
        <v>72000</v>
      </c>
      <c r="F54" s="20"/>
    </row>
    <row r="55" spans="1:6" x14ac:dyDescent="0.3">
      <c r="C55" s="17" t="s">
        <v>216</v>
      </c>
      <c r="D55" s="25">
        <f>3+1</f>
        <v>4</v>
      </c>
      <c r="E55" s="19">
        <f>42000+11000</f>
        <v>53000</v>
      </c>
      <c r="F55" s="20"/>
    </row>
    <row r="56" spans="1:6" x14ac:dyDescent="0.3">
      <c r="C56" s="17" t="s">
        <v>217</v>
      </c>
      <c r="D56" s="25">
        <f>1+1+1</f>
        <v>3</v>
      </c>
      <c r="E56" s="19">
        <f>8000+8260+10500</f>
        <v>26760</v>
      </c>
      <c r="F56" s="20"/>
    </row>
    <row r="57" spans="1:6" x14ac:dyDescent="0.3">
      <c r="C57" s="17" t="s">
        <v>170</v>
      </c>
      <c r="D57" s="25">
        <v>12</v>
      </c>
      <c r="E57" s="19">
        <v>36000</v>
      </c>
      <c r="F57" s="20"/>
    </row>
    <row r="58" spans="1:6" x14ac:dyDescent="0.3">
      <c r="C58" s="17" t="s">
        <v>171</v>
      </c>
      <c r="D58" s="25">
        <v>1</v>
      </c>
      <c r="E58" s="19">
        <v>18000</v>
      </c>
      <c r="F58" s="20"/>
    </row>
    <row r="59" spans="1:6" x14ac:dyDescent="0.3">
      <c r="C59" s="17" t="s">
        <v>172</v>
      </c>
      <c r="D59" s="25">
        <v>1</v>
      </c>
      <c r="E59" s="19">
        <v>15000</v>
      </c>
      <c r="F59" s="20"/>
    </row>
    <row r="60" spans="1:6" x14ac:dyDescent="0.3">
      <c r="C60" s="17" t="s">
        <v>173</v>
      </c>
      <c r="D60" s="25">
        <v>2</v>
      </c>
      <c r="E60" s="19">
        <v>50000</v>
      </c>
      <c r="F60" s="20"/>
    </row>
    <row r="61" spans="1:6" x14ac:dyDescent="0.3">
      <c r="C61" s="17" t="s">
        <v>204</v>
      </c>
      <c r="D61" s="25">
        <v>1</v>
      </c>
      <c r="E61" s="19">
        <v>50000</v>
      </c>
      <c r="F61" s="20"/>
    </row>
    <row r="62" spans="1:6" x14ac:dyDescent="0.3">
      <c r="C62" s="17" t="s">
        <v>174</v>
      </c>
      <c r="D62" s="25">
        <v>28</v>
      </c>
      <c r="E62" s="19">
        <v>50400</v>
      </c>
      <c r="F62" s="20"/>
    </row>
    <row r="63" spans="1:6" x14ac:dyDescent="0.3">
      <c r="C63" s="17" t="s">
        <v>175</v>
      </c>
      <c r="D63" s="25">
        <v>64</v>
      </c>
      <c r="E63" s="19">
        <v>160000</v>
      </c>
      <c r="F63" s="20"/>
    </row>
    <row r="64" spans="1:6" x14ac:dyDescent="0.3">
      <c r="C64" s="17" t="s">
        <v>176</v>
      </c>
      <c r="D64" s="25">
        <v>15</v>
      </c>
      <c r="E64" s="19">
        <v>45000</v>
      </c>
      <c r="F64" s="20"/>
    </row>
    <row r="65" spans="1:6" x14ac:dyDescent="0.3">
      <c r="C65" s="17" t="s">
        <v>177</v>
      </c>
      <c r="D65" s="25">
        <v>123</v>
      </c>
      <c r="E65" s="19">
        <v>553500</v>
      </c>
      <c r="F65" s="20"/>
    </row>
    <row r="66" spans="1:6" x14ac:dyDescent="0.3">
      <c r="C66" s="17" t="s">
        <v>178</v>
      </c>
      <c r="D66" s="25">
        <v>56</v>
      </c>
      <c r="E66" s="19">
        <v>140000</v>
      </c>
      <c r="F66" s="20"/>
    </row>
    <row r="67" spans="1:6" x14ac:dyDescent="0.3">
      <c r="C67" s="17" t="s">
        <v>179</v>
      </c>
      <c r="D67" s="25">
        <v>38</v>
      </c>
      <c r="E67" s="19">
        <v>95000</v>
      </c>
      <c r="F67" s="20"/>
    </row>
    <row r="68" spans="1:6" x14ac:dyDescent="0.3">
      <c r="C68" s="17" t="s">
        <v>180</v>
      </c>
      <c r="D68" s="25">
        <v>8</v>
      </c>
      <c r="E68" s="19">
        <v>56000</v>
      </c>
      <c r="F68" s="20"/>
    </row>
    <row r="69" spans="1:6" x14ac:dyDescent="0.3">
      <c r="C69" s="17" t="s">
        <v>181</v>
      </c>
      <c r="D69" s="25">
        <v>9</v>
      </c>
      <c r="E69" s="19">
        <v>3600</v>
      </c>
      <c r="F69" s="20"/>
    </row>
    <row r="70" spans="1:6" x14ac:dyDescent="0.3">
      <c r="C70" s="17" t="s">
        <v>182</v>
      </c>
      <c r="D70" s="25">
        <v>3</v>
      </c>
      <c r="E70" s="19">
        <v>1200</v>
      </c>
      <c r="F70" s="20"/>
    </row>
    <row r="71" spans="1:6" x14ac:dyDescent="0.3">
      <c r="C71" s="17" t="s">
        <v>183</v>
      </c>
      <c r="D71" s="25">
        <v>18</v>
      </c>
      <c r="E71" s="19">
        <v>3600</v>
      </c>
      <c r="F71" s="20"/>
    </row>
    <row r="72" spans="1:6" x14ac:dyDescent="0.3">
      <c r="C72" s="17" t="s">
        <v>184</v>
      </c>
      <c r="D72" s="25">
        <v>1</v>
      </c>
      <c r="E72" s="19">
        <v>5000</v>
      </c>
      <c r="F72" s="20"/>
    </row>
    <row r="73" spans="1:6" x14ac:dyDescent="0.3">
      <c r="C73" s="17" t="s">
        <v>185</v>
      </c>
      <c r="D73" s="25">
        <v>2</v>
      </c>
      <c r="E73" s="19">
        <v>40000</v>
      </c>
      <c r="F73" s="20"/>
    </row>
    <row r="74" spans="1:6" x14ac:dyDescent="0.3">
      <c r="C74" s="17" t="s">
        <v>186</v>
      </c>
      <c r="D74" s="25">
        <v>1</v>
      </c>
      <c r="E74" s="19">
        <v>55000</v>
      </c>
      <c r="F74" s="20"/>
    </row>
    <row r="75" spans="1:6" x14ac:dyDescent="0.3">
      <c r="C75" s="17" t="s">
        <v>187</v>
      </c>
      <c r="D75" s="25">
        <f>4+4</f>
        <v>8</v>
      </c>
      <c r="E75" s="19">
        <f>166600+168594.88</f>
        <v>335194.88</v>
      </c>
      <c r="F75" s="20"/>
    </row>
    <row r="76" spans="1:6" x14ac:dyDescent="0.3">
      <c r="C76" s="17" t="s">
        <v>202</v>
      </c>
      <c r="D76" s="25">
        <v>11</v>
      </c>
      <c r="E76" s="19">
        <v>49500</v>
      </c>
      <c r="F76" s="20"/>
    </row>
    <row r="77" spans="1:6" x14ac:dyDescent="0.3">
      <c r="C77" s="3" t="s">
        <v>212</v>
      </c>
      <c r="D77" s="4" t="s">
        <v>213</v>
      </c>
      <c r="E77" s="14">
        <v>35000</v>
      </c>
      <c r="F77" s="15"/>
    </row>
    <row r="78" spans="1:6" x14ac:dyDescent="0.3">
      <c r="A78" s="26" t="s">
        <v>207</v>
      </c>
      <c r="B78" s="26" t="s">
        <v>208</v>
      </c>
      <c r="C78" s="3"/>
      <c r="D78" s="4"/>
      <c r="E78" s="14"/>
      <c r="F78" s="16">
        <f>SUM(E79:E91)</f>
        <v>660360.32000000007</v>
      </c>
    </row>
    <row r="79" spans="1:6" x14ac:dyDescent="0.3">
      <c r="C79" s="17" t="s">
        <v>188</v>
      </c>
      <c r="D79" s="25">
        <v>36</v>
      </c>
      <c r="E79" s="19">
        <v>20880</v>
      </c>
      <c r="F79" s="20"/>
    </row>
    <row r="80" spans="1:6" x14ac:dyDescent="0.3">
      <c r="C80" s="17" t="s">
        <v>189</v>
      </c>
      <c r="D80" s="25">
        <v>24</v>
      </c>
      <c r="E80" s="19">
        <v>13920</v>
      </c>
      <c r="F80" s="20"/>
    </row>
    <row r="81" spans="3:6" x14ac:dyDescent="0.3">
      <c r="C81" s="17" t="s">
        <v>190</v>
      </c>
      <c r="D81" s="25">
        <f>124+12</f>
        <v>136</v>
      </c>
      <c r="E81" s="19">
        <f>89280+12531.96</f>
        <v>101811.95999999999</v>
      </c>
      <c r="F81" s="20"/>
    </row>
    <row r="82" spans="3:6" x14ac:dyDescent="0.3">
      <c r="C82" s="17" t="s">
        <v>191</v>
      </c>
      <c r="D82" s="25">
        <v>57</v>
      </c>
      <c r="E82" s="19">
        <v>41610</v>
      </c>
      <c r="F82" s="20"/>
    </row>
    <row r="83" spans="3:6" x14ac:dyDescent="0.3">
      <c r="C83" s="17" t="s">
        <v>192</v>
      </c>
      <c r="D83" s="25">
        <v>9</v>
      </c>
      <c r="E83" s="19">
        <v>5760</v>
      </c>
      <c r="F83" s="20"/>
    </row>
    <row r="84" spans="3:6" x14ac:dyDescent="0.3">
      <c r="C84" s="17" t="s">
        <v>193</v>
      </c>
      <c r="D84" s="25">
        <v>24</v>
      </c>
      <c r="E84" s="19">
        <v>22320</v>
      </c>
      <c r="F84" s="20"/>
    </row>
    <row r="85" spans="3:6" x14ac:dyDescent="0.3">
      <c r="C85" s="17" t="s">
        <v>194</v>
      </c>
      <c r="D85" s="25">
        <v>14</v>
      </c>
      <c r="E85" s="19">
        <v>2660</v>
      </c>
      <c r="F85" s="20"/>
    </row>
    <row r="86" spans="3:6" x14ac:dyDescent="0.3">
      <c r="C86" s="17" t="s">
        <v>195</v>
      </c>
      <c r="D86" s="25">
        <f>3+5</f>
        <v>8</v>
      </c>
      <c r="E86" s="19">
        <f>26400+42707.8</f>
        <v>69107.8</v>
      </c>
      <c r="F86" s="20"/>
    </row>
    <row r="87" spans="3:6" x14ac:dyDescent="0.3">
      <c r="C87" s="17" t="s">
        <v>196</v>
      </c>
      <c r="D87" s="25">
        <v>40</v>
      </c>
      <c r="E87" s="19">
        <v>4000</v>
      </c>
      <c r="F87" s="20"/>
    </row>
    <row r="88" spans="3:6" x14ac:dyDescent="0.3">
      <c r="C88" s="17" t="s">
        <v>198</v>
      </c>
      <c r="D88" s="25">
        <f>9+12</f>
        <v>21</v>
      </c>
      <c r="E88" s="19">
        <f>10800+9769.44</f>
        <v>20569.440000000002</v>
      </c>
      <c r="F88" s="20"/>
    </row>
    <row r="89" spans="3:6" x14ac:dyDescent="0.3">
      <c r="C89" s="17" t="s">
        <v>199</v>
      </c>
      <c r="D89" s="25">
        <f>4+4</f>
        <v>8</v>
      </c>
      <c r="E89" s="19">
        <f>107200+109521.12</f>
        <v>216721.12</v>
      </c>
      <c r="F89" s="20"/>
    </row>
    <row r="90" spans="3:6" x14ac:dyDescent="0.3">
      <c r="C90" s="17" t="s">
        <v>200</v>
      </c>
      <c r="D90" s="25">
        <v>2</v>
      </c>
      <c r="E90" s="19">
        <v>69000</v>
      </c>
      <c r="F90" s="20"/>
    </row>
    <row r="91" spans="3:6" x14ac:dyDescent="0.3">
      <c r="C91" s="17" t="s">
        <v>201</v>
      </c>
      <c r="D91" s="18" t="s">
        <v>197</v>
      </c>
      <c r="E91" s="19">
        <v>72000</v>
      </c>
      <c r="F91" s="20"/>
    </row>
    <row r="92" spans="3:6" x14ac:dyDescent="0.3">
      <c r="C92" s="17"/>
      <c r="D92" s="18"/>
      <c r="E92" s="19"/>
      <c r="F92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Caminhão-Maquinas-Veiculos</vt:lpstr>
      <vt:lpstr>Computadores-Moveis-Equipamento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Cesar Tenório de Medeiros</cp:lastModifiedBy>
  <dcterms:created xsi:type="dcterms:W3CDTF">2025-10-02T12:40:49Z</dcterms:created>
  <dcterms:modified xsi:type="dcterms:W3CDTF">2026-03-27T16:58:56Z</dcterms:modified>
</cp:coreProperties>
</file>